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1340" windowHeight="6090"/>
  </bookViews>
  <sheets>
    <sheet name="Worksheet 1" sheetId="1" r:id="rId1"/>
    <sheet name="Worksheet 2" sheetId="2" r:id="rId2"/>
    <sheet name="Worksheet 3" sheetId="3" r:id="rId3"/>
    <sheet name="bài 2" sheetId="4" r:id="rId4"/>
  </sheets>
  <calcPr calcId="152511"/>
</workbook>
</file>

<file path=xl/calcChain.xml><?xml version="1.0" encoding="utf-8"?>
<calcChain xmlns="http://schemas.openxmlformats.org/spreadsheetml/2006/main">
  <c r="C11" i="4" l="1"/>
  <c r="C8" i="4"/>
  <c r="E11" i="4"/>
  <c r="D8" i="4"/>
  <c r="B11" i="4"/>
  <c r="B8" i="4"/>
  <c r="E10" i="4"/>
  <c r="B4" i="4"/>
  <c r="D10" i="4"/>
  <c r="C10" i="4"/>
  <c r="B10" i="4"/>
  <c r="D11" i="4"/>
  <c r="E9" i="4"/>
  <c r="D9" i="4"/>
  <c r="B19" i="4"/>
  <c r="C9" i="4"/>
  <c r="B15" i="4"/>
  <c r="B9" i="4"/>
  <c r="E8" i="4"/>
</calcChain>
</file>

<file path=xl/sharedStrings.xml><?xml version="1.0" encoding="utf-8"?>
<sst xmlns="http://schemas.openxmlformats.org/spreadsheetml/2006/main" count="134" uniqueCount="70">
  <si>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</si>
  <si>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</si>
  <si>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</si>
  <si>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</si>
  <si>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</si>
  <si>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</si>
  <si>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</si>
  <si>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</si>
  <si>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</si>
  <si>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</si>
  <si>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</si>
  <si>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</si>
  <si>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</si>
  <si>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</si>
  <si>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</si>
  <si>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</si>
  <si>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</si>
  <si>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</si>
  <si>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</si>
  <si>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</si>
  <si>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</si>
  <si>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</si>
  <si>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</si>
  <si>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</si>
  <si>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</si>
  <si>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</si>
  <si>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</si>
  <si>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</si>
  <si>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</si>
  <si>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</si>
  <si>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</si>
  <si>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</si>
  <si>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</si>
  <si>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</si>
  <si>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</si>
  <si>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</si>
  <si>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</si>
  <si>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</si>
  <si>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</si>
  <si>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</si>
  <si>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</si>
  <si>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</si>
  <si>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</si>
  <si>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</si>
  <si>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</si>
  <si>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</si>
  <si>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</si>
  <si>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</si>
  <si>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</si>
  <si>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</si>
  <si>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</si>
  <si>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</si>
  <si>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</si>
  <si>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</si>
  <si>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</si>
  <si>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</si>
  <si>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</si>
  <si>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</si>
  <si>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</si>
  <si>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</si>
  <si>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</si>
  <si>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</si>
  <si>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</si>
  <si>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</si>
  <si>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</si>
  <si>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</si>
  <si>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a. Sinh viên học lớp DI1296A1 và DI1296A2</t>
  </si>
  <si>
    <t>b. Sinh viên học môn CT178</t>
  </si>
  <si>
    <t>c. sinh viên lớp CP1296C1 học môn CT178</t>
  </si>
  <si>
    <t>d. sinh viên lớp CP1296C1 học môn CT178 có kết quả học tập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</si>
</sst>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name val="Arial"/>
    </font>
    <font>
      <sz val="11"/>
      <color rgb="FF000000"/>
      <name val="'Times New Roman'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0"/>
      <color rgb="FF000000"/>
      <name val="Arial"/>
    </font>
    <font>
      <b/>
      <sz val="11"/>
      <color rgb="FF000000"/>
      <name val="'Times New Roman'"/>
    </font>
  </fonts>
  <fills count="10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6524"/>
        <bgColor rgb="FFF4652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63D297"/>
        <bgColor rgb="FF63D297"/>
      </patternFill>
    </fill>
    <fill>
      <patternFill patternType="solid">
        <fgColor rgb="FFF7CB4D"/>
        <bgColor rgb="FFF7CB4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4" xfId="0" applyFont="1" applyBorder="1" applyAlignment="1"/>
    <xf numFmtId="0" fontId="4" fillId="0" borderId="4" xfId="0" applyFont="1" applyBorder="1"/>
    <xf numFmtId="0" fontId="4" fillId="0" borderId="0" xfId="0" applyFont="1" applyAlignment="1"/>
    <xf numFmtId="0" fontId="5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1" fillId="6" borderId="1" xfId="0" applyFont="1" applyFill="1" applyBorder="1" applyAlignment="1">
      <alignment horizontal="center" wrapText="1"/>
    </xf>
    <xf numFmtId="0" fontId="4" fillId="3" borderId="0" xfId="0" applyFont="1" applyFill="1"/>
    <xf numFmtId="0" fontId="4" fillId="3" borderId="1" xfId="0" applyFont="1" applyFill="1" applyBorder="1"/>
    <xf numFmtId="0" fontId="4" fillId="7" borderId="1" xfId="0" applyFont="1" applyFill="1" applyBorder="1"/>
    <xf numFmtId="0" fontId="8" fillId="0" borderId="0" xfId="0" applyFont="1" applyAlignment="1"/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/>
    <xf numFmtId="0" fontId="5" fillId="0" borderId="0" xfId="0" applyFont="1" applyAlignment="1">
      <alignment horizontal="center" wrapText="1"/>
    </xf>
    <xf numFmtId="0" fontId="0" fillId="0" borderId="0" xfId="0" applyFont="1" applyAlignment="1"/>
    <xf numFmtId="0" fontId="1" fillId="5" borderId="2" xfId="0" applyFont="1" applyFill="1" applyBorder="1" applyAlignment="1">
      <alignment horizontal="center" wrapText="1"/>
    </xf>
    <xf numFmtId="0" fontId="2" fillId="5" borderId="3" xfId="0" applyFont="1" applyFill="1" applyBorder="1"/>
    <xf numFmtId="0" fontId="1" fillId="6" borderId="2" xfId="0" applyFont="1" applyFill="1" applyBorder="1" applyAlignment="1">
      <alignment horizontal="center" wrapText="1"/>
    </xf>
    <xf numFmtId="0" fontId="2" fillId="6" borderId="3" xfId="0" applyFont="1" applyFill="1" applyBorder="1"/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/>
    <xf numFmtId="0" fontId="1" fillId="9" borderId="2" xfId="0" applyFont="1" applyFill="1" applyBorder="1" applyAlignment="1">
      <alignment horizontal="center" wrapText="1"/>
    </xf>
    <xf numFmtId="0" fontId="2" fillId="9" borderId="3" xfId="0" applyFont="1" applyFill="1" applyBorder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Worksheet 3-style" pivot="0" count="3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C4">
  <tableColumns count="3">
    <tableColumn id="1" name="MaMH"/>
    <tableColumn id="2" name="TenMH"/>
    <tableColumn id="3" name="TinChi"/>
  </tableColumns>
  <tableStyleInfo name="Worksheet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tabSelected="1" workbookViewId="0"/>
  </sheetViews>
  <sheetFormatPr defaultColWidth="12.5703125" defaultRowHeight="15.75" customHeight="1"/>
  <cols>
    <col min="6" max="6" width="17" customWidth="1"/>
  </cols>
  <sheetData>
    <row r="1" spans="1:13" ht="15.75" customHeight="1">
      <c r="A1" s="1" t="s">
        <v>0</v>
      </c>
      <c r="B1" s="37" t="s">
        <v>1</v>
      </c>
      <c r="C1" s="38"/>
      <c r="D1" s="2" t="s">
        <v>2</v>
      </c>
      <c r="G1" s="3"/>
      <c r="H1" s="3"/>
      <c r="I1" s="4"/>
      <c r="L1" s="5"/>
      <c r="M1" s="5"/>
    </row>
    <row r="2" spans="1:13" ht="15.75" customHeight="1">
      <c r="A2" s="6">
        <v>1111434</v>
      </c>
      <c r="B2" s="6" t="s">
        <v>3</v>
      </c>
      <c r="C2" s="6" t="s">
        <v>4</v>
      </c>
      <c r="D2" s="6" t="s">
        <v>5</v>
      </c>
    </row>
    <row r="3" spans="1:13" ht="15.75" customHeight="1">
      <c r="A3" s="7">
        <v>1111450</v>
      </c>
      <c r="B3" s="7" t="s">
        <v>6</v>
      </c>
      <c r="C3" s="7" t="s">
        <v>7</v>
      </c>
      <c r="D3" s="7" t="s">
        <v>8</v>
      </c>
      <c r="F3" s="8"/>
    </row>
    <row r="4" spans="1:13" ht="15.75" customHeight="1">
      <c r="A4" s="6" t="s">
        <v>9</v>
      </c>
      <c r="B4" s="6" t="s">
        <v>10</v>
      </c>
      <c r="C4" s="6" t="s">
        <v>11</v>
      </c>
      <c r="D4" s="6" t="s">
        <v>12</v>
      </c>
    </row>
    <row r="5" spans="1:13" ht="15.75" customHeight="1">
      <c r="A5" s="7" t="s">
        <v>13</v>
      </c>
      <c r="B5" s="7" t="s">
        <v>14</v>
      </c>
      <c r="C5" s="7" t="s">
        <v>15</v>
      </c>
      <c r="D5" s="7" t="s">
        <v>12</v>
      </c>
      <c r="F5" s="9"/>
    </row>
    <row r="6" spans="1:13" ht="15.75" customHeight="1">
      <c r="A6" s="6" t="s">
        <v>16</v>
      </c>
      <c r="B6" s="6" t="s">
        <v>17</v>
      </c>
      <c r="C6" s="6" t="s">
        <v>18</v>
      </c>
      <c r="D6" s="6" t="s">
        <v>12</v>
      </c>
      <c r="F6" s="10"/>
      <c r="G6" s="39"/>
      <c r="H6" s="40"/>
      <c r="I6" s="10"/>
    </row>
    <row r="7" spans="1:13" ht="15.75" customHeight="1">
      <c r="A7" s="7" t="s">
        <v>19</v>
      </c>
      <c r="B7" s="7" t="s">
        <v>20</v>
      </c>
      <c r="C7" s="7" t="s">
        <v>21</v>
      </c>
      <c r="D7" s="7" t="s">
        <v>22</v>
      </c>
    </row>
    <row r="8" spans="1:13" ht="15.75" customHeight="1">
      <c r="A8" s="6" t="s">
        <v>23</v>
      </c>
      <c r="B8" s="6" t="s">
        <v>20</v>
      </c>
      <c r="C8" s="6" t="s">
        <v>24</v>
      </c>
      <c r="D8" s="6" t="s">
        <v>25</v>
      </c>
      <c r="F8" s="8"/>
      <c r="G8" s="11"/>
      <c r="H8" s="11"/>
      <c r="I8" s="11"/>
    </row>
    <row r="9" spans="1:13" ht="15.75" customHeight="1">
      <c r="A9" s="7" t="s">
        <v>26</v>
      </c>
      <c r="B9" s="7" t="s">
        <v>27</v>
      </c>
      <c r="C9" s="7" t="s">
        <v>28</v>
      </c>
      <c r="D9" s="7" t="s">
        <v>29</v>
      </c>
      <c r="F9" s="8"/>
      <c r="G9" s="11"/>
      <c r="H9" s="11"/>
      <c r="I9" s="11"/>
    </row>
    <row r="10" spans="1:13" ht="15.75" customHeight="1">
      <c r="A10" s="6" t="s">
        <v>30</v>
      </c>
      <c r="B10" s="6" t="s">
        <v>31</v>
      </c>
      <c r="C10" s="6" t="s">
        <v>32</v>
      </c>
      <c r="D10" s="6" t="s">
        <v>33</v>
      </c>
      <c r="F10" s="12"/>
      <c r="G10" s="12"/>
      <c r="H10" s="12"/>
      <c r="I10" s="12"/>
    </row>
    <row r="11" spans="1:13" ht="15.75" customHeight="1">
      <c r="A11" s="7" t="s">
        <v>34</v>
      </c>
      <c r="B11" s="7" t="s">
        <v>35</v>
      </c>
      <c r="C11" s="7" t="s">
        <v>36</v>
      </c>
      <c r="D11" s="7" t="s">
        <v>33</v>
      </c>
      <c r="F11" s="11"/>
      <c r="G11" s="11"/>
      <c r="H11" s="11"/>
      <c r="I11" s="11"/>
    </row>
    <row r="12" spans="1:13" ht="15.75" customHeight="1">
      <c r="A12" s="6" t="s">
        <v>37</v>
      </c>
      <c r="B12" s="6" t="s">
        <v>38</v>
      </c>
      <c r="C12" s="6" t="s">
        <v>39</v>
      </c>
      <c r="D12" s="6" t="s">
        <v>40</v>
      </c>
      <c r="F12" s="11"/>
      <c r="G12" s="11"/>
      <c r="H12" s="11"/>
      <c r="I12" s="11"/>
    </row>
    <row r="13" spans="1:13" ht="15.75" customHeight="1">
      <c r="A13" s="7" t="s">
        <v>41</v>
      </c>
      <c r="B13" s="7" t="s">
        <v>42</v>
      </c>
      <c r="C13" s="7" t="s">
        <v>43</v>
      </c>
      <c r="D13" s="7" t="s">
        <v>44</v>
      </c>
      <c r="F13" s="11"/>
      <c r="G13" s="11"/>
      <c r="H13" s="11"/>
      <c r="I13" s="11"/>
    </row>
    <row r="14" spans="1:13" ht="15.75" customHeight="1">
      <c r="A14" s="6" t="s">
        <v>45</v>
      </c>
      <c r="B14" s="6" t="s">
        <v>46</v>
      </c>
      <c r="C14" s="6" t="s">
        <v>47</v>
      </c>
      <c r="D14" s="6" t="s">
        <v>48</v>
      </c>
      <c r="F14" s="11"/>
      <c r="G14" s="11"/>
      <c r="H14" s="11"/>
      <c r="I14" s="11"/>
    </row>
    <row r="15" spans="1:13" ht="15.75" customHeight="1">
      <c r="A15" s="7" t="s">
        <v>49</v>
      </c>
      <c r="B15" s="7" t="s">
        <v>50</v>
      </c>
      <c r="C15" s="7" t="s">
        <v>51</v>
      </c>
      <c r="D15" s="7" t="s">
        <v>48</v>
      </c>
      <c r="F15" s="11"/>
      <c r="G15" s="11"/>
      <c r="H15" s="11"/>
      <c r="I15" s="11"/>
    </row>
    <row r="16" spans="1:13" ht="15.75" customHeight="1">
      <c r="F16" s="11"/>
      <c r="G16" s="11"/>
      <c r="H16" s="11"/>
      <c r="I16" s="11"/>
    </row>
    <row r="17" spans="1:9" ht="15.75" customHeight="1">
      <c r="A17" s="9"/>
      <c r="E17" s="9"/>
      <c r="F17" s="11"/>
      <c r="G17" s="11"/>
      <c r="H17" s="11"/>
      <c r="I17" s="11"/>
    </row>
    <row r="18" spans="1:9" ht="15.75" customHeight="1">
      <c r="A18" s="13"/>
      <c r="B18" s="13"/>
      <c r="C18" s="13"/>
      <c r="E18" s="14"/>
      <c r="F18" s="15"/>
      <c r="G18" s="15"/>
      <c r="H18" s="11"/>
      <c r="I18" s="11"/>
    </row>
    <row r="19" spans="1:9" ht="14.25">
      <c r="A19" s="12"/>
      <c r="B19" s="16"/>
      <c r="C19" s="13"/>
      <c r="E19" s="14"/>
      <c r="F19" s="15"/>
      <c r="G19" s="15"/>
      <c r="H19" s="11"/>
      <c r="I19" s="11"/>
    </row>
    <row r="20" spans="1:9" ht="14.25">
      <c r="A20" s="12"/>
      <c r="B20" s="16"/>
      <c r="C20" s="13"/>
      <c r="E20" s="14"/>
      <c r="F20" s="15"/>
      <c r="G20" s="15"/>
      <c r="H20" s="11"/>
      <c r="I20" s="11"/>
    </row>
    <row r="21" spans="1:9" ht="14.25">
      <c r="A21" s="12"/>
      <c r="B21" s="16"/>
      <c r="C21" s="13"/>
      <c r="E21" s="14"/>
      <c r="F21" s="15"/>
      <c r="G21" s="15"/>
      <c r="H21" s="11"/>
      <c r="I21" s="11"/>
    </row>
    <row r="22" spans="1:9" ht="14.25">
      <c r="A22" s="12"/>
      <c r="B22" s="16"/>
      <c r="C22" s="13"/>
      <c r="E22" s="17"/>
      <c r="F22" s="11"/>
      <c r="G22" s="17"/>
      <c r="H22" s="11"/>
      <c r="I22" s="11"/>
    </row>
    <row r="23" spans="1:9" ht="14.25">
      <c r="A23" s="12"/>
      <c r="B23" s="16"/>
      <c r="C23" s="13"/>
      <c r="E23" s="17"/>
      <c r="F23" s="17"/>
      <c r="G23" s="17"/>
    </row>
    <row r="24" spans="1:9" ht="14.25">
      <c r="A24" s="12"/>
      <c r="B24" s="16"/>
      <c r="C24" s="13"/>
      <c r="E24" s="17"/>
      <c r="F24" s="17"/>
      <c r="G24" s="17"/>
    </row>
    <row r="25" spans="1:9" ht="14.25">
      <c r="A25" s="12"/>
      <c r="B25" s="16"/>
      <c r="C25" s="13"/>
      <c r="E25" s="17"/>
      <c r="F25" s="17"/>
      <c r="G25" s="17"/>
    </row>
    <row r="26" spans="1:9" ht="14.25">
      <c r="A26" s="12"/>
      <c r="B26" s="16"/>
      <c r="C26" s="13"/>
      <c r="E26" s="17"/>
      <c r="F26" s="17"/>
      <c r="G26" s="17"/>
    </row>
    <row r="27" spans="1:9" ht="14.25">
      <c r="A27" s="12"/>
      <c r="B27" s="16"/>
      <c r="C27" s="13"/>
      <c r="E27" s="17"/>
      <c r="F27" s="17"/>
      <c r="G27" s="17"/>
    </row>
    <row r="28" spans="1:9" ht="14.25">
      <c r="A28" s="12"/>
      <c r="B28" s="16"/>
      <c r="C28" s="13"/>
      <c r="E28" s="17"/>
      <c r="F28" s="17"/>
      <c r="G28" s="17"/>
    </row>
    <row r="29" spans="1:9" ht="14.25">
      <c r="A29" s="12"/>
      <c r="B29" s="16"/>
      <c r="C29" s="13"/>
      <c r="E29" s="17"/>
      <c r="F29" s="17"/>
      <c r="G29" s="17"/>
    </row>
    <row r="30" spans="1:9" ht="14.25">
      <c r="A30" s="12"/>
      <c r="B30" s="16"/>
      <c r="C30" s="13"/>
      <c r="E30" s="17"/>
      <c r="F30" s="17"/>
      <c r="G30" s="17"/>
    </row>
    <row r="31" spans="1:9" ht="14.25">
      <c r="A31" s="12"/>
      <c r="B31" s="16"/>
      <c r="C31" s="13"/>
      <c r="E31" s="17"/>
      <c r="F31" s="17"/>
      <c r="G31" s="17"/>
    </row>
    <row r="32" spans="1:9" ht="14.25">
      <c r="A32" s="12"/>
      <c r="B32" s="16"/>
      <c r="C32" s="13"/>
      <c r="E32" s="17"/>
      <c r="F32" s="17"/>
      <c r="G32" s="17"/>
    </row>
    <row r="33" spans="1:7" ht="14.25">
      <c r="A33" s="18"/>
      <c r="B33" s="19"/>
      <c r="C33" s="13"/>
      <c r="E33" s="17"/>
      <c r="F33" s="17"/>
      <c r="G33" s="17"/>
    </row>
  </sheetData>
  <mergeCells count="2">
    <mergeCell ref="B1:C1"/>
    <mergeCell ref="G6:H6"/>
  </mergeCells>
  <conditionalFormatting sqref="G16">
    <cfRule type="notContainsBlanks" dxfId="2" priority="1">
      <formula>LEN(TRIM(G16))&gt;0</formula>
    </cfRule>
  </conditionalFormatting>
  <conditionalFormatting sqref="D2:D15">
    <cfRule type="cellIs" dxfId="1" priority="2" operator="equal">
      <formula>"CP1296C1"</formula>
    </cfRule>
  </conditionalFormatting>
  <conditionalFormatting sqref="D1:D15">
    <cfRule type="cellIs" dxfId="0" priority="3" operator="equal">
      <formula>"DI13Z6A1"</formula>
    </cfRule>
  </conditionalFormatting>
  <conditionalFormatting sqref="D1:D15">
    <cfRule type="colorScale" priority="4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"/>
  <sheetViews>
    <sheetView workbookViewId="0"/>
  </sheetViews>
  <sheetFormatPr defaultColWidth="12.5703125" defaultRowHeight="15.75" customHeight="1"/>
  <sheetData>
    <row r="1" spans="1:3" ht="15.75" customHeight="1">
      <c r="A1" s="20" t="s">
        <v>0</v>
      </c>
      <c r="B1" s="20" t="s">
        <v>52</v>
      </c>
      <c r="C1" s="20" t="s">
        <v>53</v>
      </c>
    </row>
    <row r="2" spans="1:3" ht="15.75" customHeight="1">
      <c r="A2" s="21">
        <v>1111434</v>
      </c>
      <c r="B2" s="22" t="s">
        <v>54</v>
      </c>
      <c r="C2" s="20" t="s">
        <v>55</v>
      </c>
    </row>
    <row r="3" spans="1:3" ht="15.75" customHeight="1">
      <c r="A3" s="21">
        <v>1111450</v>
      </c>
      <c r="B3" s="22" t="s">
        <v>56</v>
      </c>
      <c r="C3" s="20" t="s">
        <v>55</v>
      </c>
    </row>
    <row r="4" spans="1:3" ht="15.75" customHeight="1">
      <c r="A4" s="21" t="s">
        <v>9</v>
      </c>
      <c r="B4" s="22" t="s">
        <v>57</v>
      </c>
      <c r="C4" s="20" t="s">
        <v>58</v>
      </c>
    </row>
    <row r="5" spans="1:3" ht="15.75" customHeight="1">
      <c r="A5" s="21" t="s">
        <v>13</v>
      </c>
      <c r="B5" s="22" t="s">
        <v>54</v>
      </c>
      <c r="C5" s="20" t="s">
        <v>59</v>
      </c>
    </row>
    <row r="6" spans="1:3" ht="15.75" customHeight="1">
      <c r="A6" s="21" t="s">
        <v>16</v>
      </c>
      <c r="B6" s="22" t="s">
        <v>56</v>
      </c>
      <c r="C6" s="20" t="s">
        <v>60</v>
      </c>
    </row>
    <row r="7" spans="1:3" ht="15.75" customHeight="1">
      <c r="A7" s="21" t="s">
        <v>19</v>
      </c>
      <c r="B7" s="22" t="s">
        <v>57</v>
      </c>
      <c r="C7" s="20" t="s">
        <v>55</v>
      </c>
    </row>
    <row r="8" spans="1:3" ht="15.75" customHeight="1">
      <c r="A8" s="21" t="s">
        <v>23</v>
      </c>
      <c r="B8" s="22" t="s">
        <v>54</v>
      </c>
      <c r="C8" s="20" t="s">
        <v>55</v>
      </c>
    </row>
    <row r="9" spans="1:3" ht="15.75" customHeight="1">
      <c r="A9" s="21" t="s">
        <v>26</v>
      </c>
      <c r="B9" s="22" t="s">
        <v>56</v>
      </c>
      <c r="C9" s="20" t="s">
        <v>58</v>
      </c>
    </row>
    <row r="10" spans="1:3" ht="15.75" customHeight="1">
      <c r="A10" s="21" t="s">
        <v>30</v>
      </c>
      <c r="B10" s="22" t="s">
        <v>57</v>
      </c>
      <c r="C10" s="20" t="s">
        <v>59</v>
      </c>
    </row>
    <row r="11" spans="1:3" ht="15.75" customHeight="1">
      <c r="A11" s="21" t="s">
        <v>34</v>
      </c>
      <c r="B11" s="22" t="s">
        <v>54</v>
      </c>
      <c r="C11" s="20" t="s">
        <v>60</v>
      </c>
    </row>
    <row r="12" spans="1:3" ht="15.75" customHeight="1">
      <c r="A12" s="21" t="s">
        <v>37</v>
      </c>
      <c r="B12" s="22" t="s">
        <v>56</v>
      </c>
      <c r="C12" s="20" t="s">
        <v>55</v>
      </c>
    </row>
    <row r="13" spans="1:3" ht="15.75" customHeight="1">
      <c r="A13" s="21" t="s">
        <v>41</v>
      </c>
      <c r="B13" s="22" t="s">
        <v>57</v>
      </c>
      <c r="C13" s="20" t="s">
        <v>55</v>
      </c>
    </row>
    <row r="14" spans="1:3" ht="15.75" customHeight="1">
      <c r="A14" s="21" t="s">
        <v>45</v>
      </c>
      <c r="B14" s="22" t="s">
        <v>54</v>
      </c>
      <c r="C14" s="20" t="s">
        <v>58</v>
      </c>
    </row>
    <row r="15" spans="1:3" ht="15.75" customHeight="1">
      <c r="A15" s="21" t="s">
        <v>49</v>
      </c>
      <c r="B15" s="22" t="s">
        <v>56</v>
      </c>
      <c r="C15" s="20" t="s">
        <v>59</v>
      </c>
    </row>
    <row r="16" spans="1:3" ht="15.75" customHeight="1">
      <c r="A16" s="23"/>
      <c r="B16" s="24"/>
      <c r="C1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"/>
  <sheetViews>
    <sheetView workbookViewId="0"/>
  </sheetViews>
  <sheetFormatPr defaultColWidth="12.5703125" defaultRowHeight="15.75" customHeight="1"/>
  <sheetData>
    <row r="1" spans="1:3" ht="15.75" customHeight="1">
      <c r="A1" s="26" t="s">
        <v>52</v>
      </c>
      <c r="B1" s="26" t="s">
        <v>61</v>
      </c>
      <c r="C1" s="26" t="s">
        <v>62</v>
      </c>
    </row>
    <row r="2" spans="1:3" ht="15.75" customHeight="1">
      <c r="A2" s="26" t="s">
        <v>54</v>
      </c>
      <c r="B2" s="26" t="s">
        <v>63</v>
      </c>
      <c r="C2" s="26">
        <v>3</v>
      </c>
    </row>
    <row r="3" spans="1:3" ht="15.75" customHeight="1">
      <c r="A3" s="26" t="s">
        <v>56</v>
      </c>
      <c r="B3" s="26" t="s">
        <v>64</v>
      </c>
      <c r="C3" s="26">
        <v>3</v>
      </c>
    </row>
    <row r="4" spans="1:3" ht="15.75" customHeight="1">
      <c r="A4" s="26" t="s">
        <v>57</v>
      </c>
      <c r="B4" s="26" t="s">
        <v>65</v>
      </c>
      <c r="C4" s="26">
        <v>3</v>
      </c>
    </row>
    <row r="5" spans="1:3" ht="15.75" customHeight="1">
      <c r="A5" s="24"/>
      <c r="B5" s="24"/>
      <c r="C5" s="24"/>
    </row>
    <row r="6" spans="1:3" ht="15.75" customHeight="1">
      <c r="A6" s="24"/>
      <c r="B6" s="24"/>
      <c r="C6" s="24"/>
    </row>
    <row r="7" spans="1:3" ht="15.75" customHeight="1">
      <c r="A7" s="24"/>
      <c r="B7" s="24"/>
      <c r="C7" s="24"/>
    </row>
    <row r="8" spans="1:3" ht="15.75" customHeight="1">
      <c r="A8" s="24"/>
      <c r="B8" s="24"/>
      <c r="C8" s="24"/>
    </row>
    <row r="9" spans="1:3" ht="15.75" customHeight="1">
      <c r="A9" s="24"/>
      <c r="B9" s="24"/>
      <c r="C9" s="24"/>
    </row>
    <row r="10" spans="1:3" ht="15.75" customHeight="1">
      <c r="A10" s="24"/>
      <c r="B10" s="24"/>
      <c r="C10" s="24"/>
    </row>
    <row r="11" spans="1:3" ht="15.75" customHeight="1">
      <c r="A11" s="24"/>
      <c r="B11" s="24"/>
      <c r="C11" s="24"/>
    </row>
    <row r="12" spans="1:3" ht="15.75" customHeight="1">
      <c r="A12" s="24"/>
      <c r="B12" s="24"/>
      <c r="C12" s="24"/>
    </row>
    <row r="13" spans="1:3" ht="15.75" customHeight="1">
      <c r="A13" s="24"/>
      <c r="B13" s="24"/>
      <c r="C13" s="24"/>
    </row>
    <row r="14" spans="1:3" ht="15.75" customHeight="1">
      <c r="A14" s="24"/>
      <c r="B14" s="24"/>
      <c r="C14" s="24"/>
    </row>
    <row r="15" spans="1:3" ht="15.75" customHeight="1">
      <c r="A15" s="24"/>
      <c r="B15" s="24"/>
      <c r="C15" s="24"/>
    </row>
    <row r="16" spans="1:3" ht="15.75" customHeight="1">
      <c r="A16" s="24"/>
      <c r="B16" s="24"/>
      <c r="C16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19"/>
  <sheetViews>
    <sheetView workbookViewId="0"/>
  </sheetViews>
  <sheetFormatPr defaultColWidth="12.5703125" defaultRowHeight="15.75" customHeight="1"/>
  <sheetData>
    <row r="2" spans="2:5">
      <c r="B2" s="27" t="s">
        <v>66</v>
      </c>
    </row>
    <row r="3" spans="2:5" ht="15.75" customHeight="1">
      <c r="B3" s="28" t="s">
        <v>0</v>
      </c>
      <c r="C3" s="41" t="s">
        <v>1</v>
      </c>
      <c r="D3" s="42"/>
      <c r="E3" s="28" t="s">
        <v>2</v>
      </c>
    </row>
    <row r="4" spans="2:5" ht="15.75" customHeight="1">
      <c r="B4" s="29" t="str">
        <f ca="1">IFERROR(__xludf.DUMMYFUNCTION("FILTER('Worksheet 1'!A2:A15,('Worksheet 1'!D2:D15=""DI1296A1"")+('Worksheet 1'!D2:D15=""DI1296A2""))"),"B1204052")</f>
        <v>B1204052</v>
      </c>
      <c r="C4" s="6" t="s">
        <v>20</v>
      </c>
      <c r="D4" s="6" t="s">
        <v>21</v>
      </c>
      <c r="E4" s="6" t="s">
        <v>22</v>
      </c>
    </row>
    <row r="5" spans="2:5">
      <c r="B5" s="27"/>
    </row>
    <row r="6" spans="2:5">
      <c r="B6" s="27" t="s">
        <v>67</v>
      </c>
    </row>
    <row r="7" spans="2:5" ht="15.75" customHeight="1">
      <c r="B7" s="30" t="s">
        <v>0</v>
      </c>
      <c r="C7" s="43" t="s">
        <v>1</v>
      </c>
      <c r="D7" s="44"/>
      <c r="E7" s="30" t="s">
        <v>2</v>
      </c>
    </row>
    <row r="8" spans="2:5" ht="15.75" customHeight="1">
      <c r="B8" s="31" t="str">
        <f ca="1">IFERROR(__xludf.DUMMYFUNCTION("FILTER('Worksheet 1'!A2:D16, ISNUMBER(MATCH('Worksheet 1'!A2:A16, FILTER('Worksheet 2'!A2:A16, 'Worksheet 2'!B2:B16=""CT178""), 0)))"),"A1200014")</f>
        <v>A1200014</v>
      </c>
      <c r="C8" s="32" t="str">
        <f ca="1">IFERROR(__xludf.DUMMYFUNCTION("""COMPUTED_VALUE"""),"Võ Đông")</f>
        <v>Võ Đông</v>
      </c>
      <c r="D8" s="32" t="str">
        <f ca="1">IFERROR(__xludf.DUMMYFUNCTION("""COMPUTED_VALUE"""),"Triều")</f>
        <v>Triều</v>
      </c>
      <c r="E8" s="32" t="str">
        <f ca="1">IFERROR(__xludf.DUMMYFUNCTION("""COMPUTED_VALUE"""),"CP1296C1")</f>
        <v>CP1296C1</v>
      </c>
    </row>
    <row r="9" spans="2:5" ht="15.75" customHeight="1">
      <c r="B9" s="33" t="str">
        <f ca="1">IFERROR(__xludf.DUMMYFUNCTION("""COMPUTED_VALUE"""),"B1204052")</f>
        <v>B1204052</v>
      </c>
      <c r="C9" s="33" t="str">
        <f ca="1">IFERROR(__xludf.DUMMYFUNCTION("""COMPUTED_VALUE"""),"Nguyễn Thanh")</f>
        <v>Nguyễn Thanh</v>
      </c>
      <c r="D9" s="33" t="str">
        <f ca="1">IFERROR(__xludf.DUMMYFUNCTION("""COMPUTED_VALUE"""),"Phong")</f>
        <v>Phong</v>
      </c>
      <c r="E9" s="33" t="str">
        <f ca="1">IFERROR(__xludf.DUMMYFUNCTION("""COMPUTED_VALUE"""),"DI1296A2")</f>
        <v>DI1296A2</v>
      </c>
    </row>
    <row r="10" spans="2:5" ht="15.75" customHeight="1">
      <c r="B10" s="32" t="str">
        <f ca="1">IFERROR(__xludf.DUMMYFUNCTION("""COMPUTED_VALUE"""),"B1209103")</f>
        <v>B1209103</v>
      </c>
      <c r="C10" s="32" t="str">
        <f ca="1">IFERROR(__xludf.DUMMYFUNCTION("""COMPUTED_VALUE"""),"Nguyễn Hoài")</f>
        <v>Nguyễn Hoài</v>
      </c>
      <c r="D10" s="32" t="str">
        <f ca="1">IFERROR(__xludf.DUMMYFUNCTION("""COMPUTED_VALUE"""),"Nam")</f>
        <v>Nam</v>
      </c>
      <c r="E10" s="32" t="str">
        <f ca="1">IFERROR(__xludf.DUMMYFUNCTION("""COMPUTED_VALUE"""),"TC12Z5A1")</f>
        <v>TC12Z5A1</v>
      </c>
    </row>
    <row r="11" spans="2:5" ht="15.75" customHeight="1">
      <c r="B11" s="33" t="str">
        <f ca="1">IFERROR(__xludf.DUMMYFUNCTION("""COMPUTED_VALUE"""),"B1302016")</f>
        <v>B1302016</v>
      </c>
      <c r="C11" s="33" t="str">
        <f ca="1">IFERROR(__xludf.DUMMYFUNCTION("""COMPUTED_VALUE"""),"Nguyễn Phước")</f>
        <v>Nguyễn Phước</v>
      </c>
      <c r="D11" s="33" t="str">
        <f ca="1">IFERROR(__xludf.DUMMYFUNCTION("""COMPUTED_VALUE"""),"Toàn")</f>
        <v>Toàn</v>
      </c>
      <c r="E11" s="33" t="str">
        <f ca="1">IFERROR(__xludf.DUMMYFUNCTION("""COMPUTED_VALUE"""),"XH13W9A1")</f>
        <v>XH13W9A1</v>
      </c>
    </row>
    <row r="13" spans="2:5">
      <c r="B13" s="34" t="s">
        <v>68</v>
      </c>
    </row>
    <row r="14" spans="2:5" ht="15.75" customHeight="1">
      <c r="B14" s="35" t="s">
        <v>0</v>
      </c>
      <c r="C14" s="45" t="s">
        <v>1</v>
      </c>
      <c r="D14" s="46"/>
      <c r="E14" s="35" t="s">
        <v>2</v>
      </c>
    </row>
    <row r="15" spans="2:5" ht="15.75" customHeight="1">
      <c r="B15" s="32" t="str">
        <f ca="1">IFERROR(__xludf.DUMMYFUNCTION("FILTER('Worksheet 1'!A2:A15,('Worksheet 1'!D2:D15=""CP1296C1"")*(COUNTIFS('Worksheet 2'!A2:A15,'Worksheet 1'!A2:A15,'Worksheet 2'!B2:B15,""CT178"")&gt;0))"),"A1200014")</f>
        <v>A1200014</v>
      </c>
      <c r="C15" s="32" t="s">
        <v>10</v>
      </c>
      <c r="D15" s="32" t="s">
        <v>11</v>
      </c>
      <c r="E15" s="32" t="s">
        <v>12</v>
      </c>
    </row>
    <row r="17" spans="2:5">
      <c r="B17" s="34" t="s">
        <v>69</v>
      </c>
    </row>
    <row r="18" spans="2:5" ht="15.75" customHeight="1">
      <c r="B18" s="36" t="s">
        <v>0</v>
      </c>
      <c r="C18" s="47" t="s">
        <v>1</v>
      </c>
      <c r="D18" s="48"/>
      <c r="E18" s="36" t="s">
        <v>2</v>
      </c>
    </row>
    <row r="19" spans="2:5" ht="12.75">
      <c r="B19" s="32" t="str">
        <f ca="1">IFERROR(__xludf.DUMMYFUNCTION("FILTER('Worksheet 1'!A2:A15,('Worksheet 1'!D2:D15=""CP1296C1"")*(COUNTIFS('Worksheet 2'!A2:A15,'Worksheet 1'!A2:A15,'Worksheet 2'!B2:B15,""CT178"",'Worksheet 2'!C2:C15,""C"")&gt;0))"),"A1200014")</f>
        <v>A1200014</v>
      </c>
      <c r="C19" s="32" t="s">
        <v>10</v>
      </c>
      <c r="D19" s="32" t="s">
        <v>11</v>
      </c>
      <c r="E19" s="32" t="s">
        <v>12</v>
      </c>
    </row>
  </sheetData>
  <mergeCells count="4">
    <mergeCell ref="C3:D3"/>
    <mergeCell ref="C7:D7"/>
    <mergeCell ref="C14:D14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1</vt:lpstr>
      <vt:lpstr>Worksheet 2</vt:lpstr>
      <vt:lpstr>Worksheet 3</vt:lpstr>
      <vt:lpstr>bài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2026-10-03T01:39:34Z</dcterms:modified>
</cp:coreProperties>
</file>